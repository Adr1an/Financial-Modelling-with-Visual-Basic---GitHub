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3117" codeName="{B7FE6334-C1A2-E50D-BD3D-5F4D41BBC2E3}"/>
  <workbookPr codeName="ThisWorkbook" autoCompressPictures="0"/>
  <bookViews>
    <workbookView xWindow="120" yWindow="20" windowWidth="15200" windowHeight="8200"/>
  </bookViews>
  <sheets>
    <sheet name="FTSE Summary Stats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" i="1" l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E2" i="1"/>
  <c r="E3" i="1"/>
  <c r="E4" i="1"/>
  <c r="E5" i="1"/>
</calcChain>
</file>

<file path=xl/sharedStrings.xml><?xml version="1.0" encoding="utf-8"?>
<sst xmlns="http://schemas.openxmlformats.org/spreadsheetml/2006/main" count="8" uniqueCount="8">
  <si>
    <t>Date</t>
  </si>
  <si>
    <t>Adj Close</t>
  </si>
  <si>
    <t>Min</t>
  </si>
  <si>
    <t>Max</t>
  </si>
  <si>
    <t>Average</t>
  </si>
  <si>
    <t>Range</t>
  </si>
  <si>
    <t>From Spreadsheet Formula</t>
  </si>
  <si>
    <t>From VBA subroutine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</si>
</sst>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%"/>
  </numFmts>
  <fonts count="1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4" fillId="29" borderId="0" applyNumberFormat="0" applyBorder="0" applyAlignment="0" applyProtection="0"/>
    <xf numFmtId="0" fontId="5" fillId="30" borderId="1" applyNumberFormat="0" applyAlignment="0" applyProtection="0"/>
    <xf numFmtId="0" fontId="6" fillId="31" borderId="2" applyNumberFormat="0" applyAlignment="0" applyProtection="0"/>
    <xf numFmtId="0" fontId="7" fillId="0" borderId="0" applyNumberFormat="0" applyFill="0" applyBorder="0" applyAlignment="0" applyProtection="0"/>
    <xf numFmtId="0" fontId="8" fillId="32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33" borderId="1" applyNumberFormat="0" applyAlignment="0" applyProtection="0"/>
    <xf numFmtId="0" fontId="13" fillId="0" borderId="6" applyNumberFormat="0" applyFill="0" applyAlignment="0" applyProtection="0"/>
    <xf numFmtId="0" fontId="14" fillId="34" borderId="0" applyNumberFormat="0" applyBorder="0" applyAlignment="0" applyProtection="0"/>
    <xf numFmtId="0" fontId="1" fillId="35" borderId="7" applyNumberFormat="0" applyFont="0" applyAlignment="0" applyProtection="0"/>
    <xf numFmtId="0" fontId="15" fillId="30" borderId="8" applyNumberFormat="0" applyAlignment="0" applyProtection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10" fontId="0" fillId="0" borderId="0" xfId="0" applyNumberFormat="1"/>
    <xf numFmtId="164" fontId="0" fillId="0" borderId="0" xfId="0" applyNumberFormat="1"/>
    <xf numFmtId="10" fontId="0" fillId="0" borderId="0" xfId="39" applyNumberFormat="1" applyFont="1"/>
    <xf numFmtId="10" fontId="0" fillId="2" borderId="0" xfId="39" applyNumberFormat="1" applyFont="1" applyFill="1"/>
    <xf numFmtId="10" fontId="0" fillId="0" borderId="0" xfId="39" applyNumberFormat="1" applyFont="1" applyAlignment="1">
      <alignment horizontal="left" indent="2"/>
    </xf>
    <xf numFmtId="0" fontId="0" fillId="0" borderId="0" xfId="0" applyFill="1"/>
    <xf numFmtId="10" fontId="0" fillId="3" borderId="0" xfId="39" applyNumberFormat="1" applyFont="1" applyFill="1" applyAlignment="1">
      <alignment horizontal="left"/>
    </xf>
    <xf numFmtId="10" fontId="0" fillId="2" borderId="0" xfId="0" applyNumberFormat="1" applyFill="1" applyAlignment="1">
      <alignment horizontal="left"/>
    </xf>
    <xf numFmtId="0" fontId="0" fillId="4" borderId="0" xfId="0" applyFill="1"/>
    <xf numFmtId="10" fontId="0" fillId="4" borderId="0" xfId="39" applyNumberFormat="1" applyFont="1" applyFill="1"/>
    <xf numFmtId="10" fontId="0" fillId="3" borderId="0" xfId="39" applyNumberFormat="1" applyFont="1" applyFill="1"/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Percent" xfId="39" builtinId="5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63"/>
  <sheetViews>
    <sheetView tabSelected="1" workbookViewId="0">
      <selection activeCell="H17" sqref="H17"/>
    </sheetView>
  </sheetViews>
  <sheetFormatPr baseColWidth="10" defaultColWidth="8.83203125" defaultRowHeight="14" x14ac:dyDescent="0"/>
  <cols>
    <col min="1" max="1" width="10.6640625" bestFit="1" customWidth="1"/>
    <col min="2" max="2" width="9.33203125" bestFit="1" customWidth="1"/>
    <col min="3" max="3" width="8.1640625" style="4" bestFit="1" customWidth="1"/>
    <col min="4" max="4" width="8.33203125" bestFit="1" customWidth="1"/>
    <col min="5" max="5" width="25.33203125" bestFit="1" customWidth="1"/>
    <col min="6" max="6" width="20.83203125" bestFit="1" customWidth="1"/>
    <col min="7" max="7" width="8.83203125" style="11"/>
  </cols>
  <sheetData>
    <row r="1" spans="1:9">
      <c r="A1" t="s">
        <v>0</v>
      </c>
      <c r="B1" t="s">
        <v>1</v>
      </c>
      <c r="E1" t="s">
        <v>6</v>
      </c>
      <c r="F1" t="s">
        <v>7</v>
      </c>
    </row>
    <row r="2" spans="1:9">
      <c r="A2" s="1">
        <v>40561</v>
      </c>
      <c r="B2" s="7">
        <v>6056.4</v>
      </c>
      <c r="C2" s="5">
        <f>(B2/B3) - 1</f>
        <v>1.1811484036954756E-2</v>
      </c>
      <c r="D2" s="3" t="s">
        <v>4</v>
      </c>
      <c r="E2" s="9">
        <f>AVERAGE($C$2:$C$62)</f>
        <v>9.5256183468763345E-4</v>
      </c>
      <c r="F2" s="8">
        <v>9.5256190979853272E-4</v>
      </c>
      <c r="G2" s="12">
        <v>1.1811483651399612E-2</v>
      </c>
    </row>
    <row r="3" spans="1:9">
      <c r="A3" s="1">
        <v>40560</v>
      </c>
      <c r="B3" s="7">
        <v>5985.7</v>
      </c>
      <c r="C3" s="5">
        <f t="shared" ref="C3:C62" si="0">(B3/B4) - 1</f>
        <v>-2.7323770013829574E-3</v>
      </c>
      <c r="D3" s="2" t="s">
        <v>2</v>
      </c>
      <c r="E3" s="9">
        <f>MIN($C$2:$C$62)</f>
        <v>-2.3795615421620564E-2</v>
      </c>
      <c r="F3" s="8">
        <v>-2.3795615881681442E-2</v>
      </c>
      <c r="G3" s="12">
        <v>-2.7323770336806774E-3</v>
      </c>
    </row>
    <row r="4" spans="1:9">
      <c r="A4" s="1">
        <v>40557</v>
      </c>
      <c r="B4">
        <v>6002.1</v>
      </c>
      <c r="C4" s="5">
        <f t="shared" si="0"/>
        <v>-3.6189179767258661E-3</v>
      </c>
      <c r="D4" t="s">
        <v>3</v>
      </c>
      <c r="E4" s="9">
        <f>MAX($C$2:$C$62)</f>
        <v>2.2171023482498997E-2</v>
      </c>
      <c r="F4" s="8">
        <v>2.2171024233102798E-2</v>
      </c>
      <c r="G4" s="12">
        <v>-3.6189178936183453E-3</v>
      </c>
    </row>
    <row r="5" spans="1:9">
      <c r="A5" s="1">
        <v>40556</v>
      </c>
      <c r="B5">
        <v>6023.9</v>
      </c>
      <c r="C5" s="5">
        <f t="shared" si="0"/>
        <v>-4.4292395921133876E-3</v>
      </c>
      <c r="D5" t="s">
        <v>5</v>
      </c>
      <c r="E5" s="9">
        <f>E4-E3</f>
        <v>4.5966638904119561E-2</v>
      </c>
      <c r="F5" s="8">
        <v>4.5966640114784241E-2</v>
      </c>
      <c r="G5" s="12">
        <v>-4.4292397797107697E-3</v>
      </c>
    </row>
    <row r="6" spans="1:9">
      <c r="A6" s="1">
        <v>40555</v>
      </c>
      <c r="B6">
        <v>6050.7</v>
      </c>
      <c r="C6" s="5">
        <f t="shared" si="0"/>
        <v>6.1024276687728918E-3</v>
      </c>
      <c r="F6" s="6"/>
      <c r="G6" s="12">
        <v>6.1024278402328491E-3</v>
      </c>
    </row>
    <row r="7" spans="1:9">
      <c r="A7" s="1">
        <v>40554</v>
      </c>
      <c r="B7">
        <v>6014</v>
      </c>
      <c r="C7" s="5">
        <f t="shared" si="0"/>
        <v>9.6872219330792486E-3</v>
      </c>
      <c r="G7" s="12">
        <v>9.6872216090559959E-3</v>
      </c>
    </row>
    <row r="8" spans="1:9">
      <c r="A8" s="1">
        <v>40553</v>
      </c>
      <c r="B8">
        <v>5956.3</v>
      </c>
      <c r="C8" s="5">
        <f t="shared" si="0"/>
        <v>-4.6789098140133101E-3</v>
      </c>
      <c r="G8" s="12">
        <v>-4.6789096668362617E-3</v>
      </c>
    </row>
    <row r="9" spans="1:9">
      <c r="A9" s="1">
        <v>40550</v>
      </c>
      <c r="B9">
        <v>5984.3</v>
      </c>
      <c r="C9" s="5">
        <f t="shared" si="0"/>
        <v>-5.8476617659273256E-3</v>
      </c>
      <c r="G9" s="12">
        <v>-5.8476617559790611E-3</v>
      </c>
      <c r="I9" s="10"/>
    </row>
    <row r="10" spans="1:9">
      <c r="A10" s="1">
        <v>40549</v>
      </c>
      <c r="B10">
        <v>6019.5</v>
      </c>
      <c r="C10" s="5">
        <f t="shared" si="0"/>
        <v>-4.037128344280938E-3</v>
      </c>
      <c r="G10" s="12">
        <v>-4.0371282957494259E-3</v>
      </c>
    </row>
    <row r="11" spans="1:9">
      <c r="A11" s="1">
        <v>40548</v>
      </c>
      <c r="B11">
        <v>6043.9</v>
      </c>
      <c r="C11" s="5">
        <f t="shared" si="0"/>
        <v>4.988443439365442E-3</v>
      </c>
      <c r="G11" s="12">
        <v>4.9884435720741749E-3</v>
      </c>
    </row>
    <row r="12" spans="1:9">
      <c r="A12" s="1">
        <v>40547</v>
      </c>
      <c r="B12">
        <v>6013.9</v>
      </c>
      <c r="C12" s="5">
        <f t="shared" si="0"/>
        <v>1.9322361395955889E-2</v>
      </c>
      <c r="G12" s="12">
        <v>1.9322361797094345E-2</v>
      </c>
    </row>
    <row r="13" spans="1:9">
      <c r="A13" s="1">
        <v>40543</v>
      </c>
      <c r="B13">
        <v>5899.9</v>
      </c>
      <c r="C13" s="5">
        <f t="shared" si="0"/>
        <v>-1.1907553173672758E-2</v>
      </c>
      <c r="G13" s="12">
        <v>-1.1907553300261497E-2</v>
      </c>
    </row>
    <row r="14" spans="1:9">
      <c r="A14" s="1">
        <v>40542</v>
      </c>
      <c r="B14">
        <v>5971</v>
      </c>
      <c r="C14" s="5">
        <f t="shared" si="0"/>
        <v>-4.2358748582481676E-3</v>
      </c>
      <c r="G14" s="12">
        <v>-4.2358748614788055E-3</v>
      </c>
    </row>
    <row r="15" spans="1:9">
      <c r="A15" s="1">
        <v>40541</v>
      </c>
      <c r="B15">
        <v>5996.4</v>
      </c>
      <c r="C15" s="5">
        <f t="shared" si="0"/>
        <v>-2.0802476326782227E-3</v>
      </c>
      <c r="G15" s="12">
        <v>-2.080247737467289E-3</v>
      </c>
    </row>
    <row r="16" spans="1:9">
      <c r="A16" s="1">
        <v>40536</v>
      </c>
      <c r="B16">
        <v>6008.9</v>
      </c>
      <c r="C16" s="5">
        <f t="shared" si="0"/>
        <v>2.1347209019193514E-3</v>
      </c>
      <c r="G16" s="12">
        <v>2.1347207948565483E-3</v>
      </c>
    </row>
    <row r="17" spans="1:7">
      <c r="A17" s="1">
        <v>40535</v>
      </c>
      <c r="B17">
        <v>5996.1</v>
      </c>
      <c r="C17" s="5">
        <f t="shared" si="0"/>
        <v>2.1057909250439266E-3</v>
      </c>
      <c r="G17" s="12">
        <v>2.105790888890624E-3</v>
      </c>
    </row>
    <row r="18" spans="1:7">
      <c r="A18" s="1">
        <v>40534</v>
      </c>
      <c r="B18">
        <v>5983.5</v>
      </c>
      <c r="C18" s="5">
        <f t="shared" si="0"/>
        <v>5.3261198292953171E-3</v>
      </c>
      <c r="G18" s="12">
        <v>5.3261197172105312E-3</v>
      </c>
    </row>
    <row r="19" spans="1:7">
      <c r="A19" s="1">
        <v>40533</v>
      </c>
      <c r="B19">
        <v>5951.8</v>
      </c>
      <c r="C19" s="5">
        <f t="shared" si="0"/>
        <v>1.0217937402403399E-2</v>
      </c>
      <c r="G19" s="12">
        <v>1.0217937640845776E-2</v>
      </c>
    </row>
    <row r="20" spans="1:7">
      <c r="A20" s="1">
        <v>40532</v>
      </c>
      <c r="B20">
        <v>5891.6</v>
      </c>
      <c r="C20" s="5">
        <f t="shared" si="0"/>
        <v>3.3720494567253123E-3</v>
      </c>
      <c r="G20" s="12">
        <v>3.3720494247972965E-3</v>
      </c>
    </row>
    <row r="21" spans="1:7">
      <c r="A21" s="1">
        <v>40529</v>
      </c>
      <c r="B21">
        <v>5871.8</v>
      </c>
      <c r="C21" s="5">
        <f t="shared" si="0"/>
        <v>-1.5813368247437065E-3</v>
      </c>
      <c r="G21" s="12">
        <v>-1.5813368372619152E-3</v>
      </c>
    </row>
    <row r="22" spans="1:7">
      <c r="A22" s="1">
        <v>40528</v>
      </c>
      <c r="B22">
        <v>5881.1</v>
      </c>
      <c r="C22" s="5">
        <f t="shared" si="0"/>
        <v>-1.870048621263054E-4</v>
      </c>
      <c r="G22" s="12">
        <v>-1.870048581622541E-4</v>
      </c>
    </row>
    <row r="23" spans="1:7">
      <c r="A23" s="1">
        <v>40527</v>
      </c>
      <c r="B23">
        <v>5882.2</v>
      </c>
      <c r="C23" s="5">
        <f t="shared" si="0"/>
        <v>-1.5277023356871089E-3</v>
      </c>
      <c r="G23" s="12">
        <v>-1.5277023194357753E-3</v>
      </c>
    </row>
    <row r="24" spans="1:7">
      <c r="A24" s="1">
        <v>40526</v>
      </c>
      <c r="B24">
        <v>5891.2</v>
      </c>
      <c r="C24" s="5">
        <f t="shared" si="0"/>
        <v>5.1870051870051004E-3</v>
      </c>
      <c r="G24" s="12">
        <v>5.1870052702724934E-3</v>
      </c>
    </row>
    <row r="25" spans="1:7">
      <c r="A25" s="1">
        <v>40525</v>
      </c>
      <c r="B25">
        <v>5860.8</v>
      </c>
      <c r="C25" s="5">
        <f t="shared" si="0"/>
        <v>8.2229485635645361E-3</v>
      </c>
      <c r="G25" s="12">
        <v>8.2229487597942352E-3</v>
      </c>
    </row>
    <row r="26" spans="1:7">
      <c r="A26" s="1">
        <v>40522</v>
      </c>
      <c r="B26">
        <v>5813</v>
      </c>
      <c r="C26" s="5">
        <f t="shared" si="0"/>
        <v>8.6088154269980954E-4</v>
      </c>
      <c r="G26" s="12">
        <v>8.6088152602314949E-4</v>
      </c>
    </row>
    <row r="27" spans="1:7">
      <c r="A27" s="1">
        <v>40521</v>
      </c>
      <c r="B27">
        <v>5808</v>
      </c>
      <c r="C27" s="5">
        <f t="shared" si="0"/>
        <v>2.3297954957286482E-3</v>
      </c>
      <c r="G27" s="12">
        <v>2.3297953885048628E-3</v>
      </c>
    </row>
    <row r="28" spans="1:7">
      <c r="A28" s="1">
        <v>40520</v>
      </c>
      <c r="B28">
        <v>5794.5</v>
      </c>
      <c r="C28" s="5">
        <f t="shared" si="0"/>
        <v>-2.4102608246535651E-3</v>
      </c>
      <c r="G28" s="12">
        <v>-2.4102607276290655E-3</v>
      </c>
    </row>
    <row r="29" spans="1:7">
      <c r="A29" s="1">
        <v>40519</v>
      </c>
      <c r="B29">
        <v>5808.5</v>
      </c>
      <c r="C29" s="5">
        <f t="shared" si="0"/>
        <v>6.6201064069459914E-3</v>
      </c>
      <c r="G29" s="12">
        <v>6.6201062873005867E-3</v>
      </c>
    </row>
    <row r="30" spans="1:7">
      <c r="A30" s="1">
        <v>40518</v>
      </c>
      <c r="B30">
        <v>5770.3</v>
      </c>
      <c r="C30" s="5">
        <f t="shared" si="0"/>
        <v>4.3513828694758949E-3</v>
      </c>
      <c r="G30" s="12">
        <v>4.3513830751180649E-3</v>
      </c>
    </row>
    <row r="31" spans="1:7">
      <c r="A31" s="1">
        <v>40515</v>
      </c>
      <c r="B31">
        <v>5745.3</v>
      </c>
      <c r="C31" s="5">
        <f t="shared" si="0"/>
        <v>-3.8664262431514773E-3</v>
      </c>
      <c r="G31" s="12">
        <v>-3.8664261810481548E-3</v>
      </c>
    </row>
    <row r="32" spans="1:7">
      <c r="A32" s="1">
        <v>40514</v>
      </c>
      <c r="B32">
        <v>5767.6</v>
      </c>
      <c r="C32" s="5">
        <f t="shared" si="0"/>
        <v>2.2171023482498997E-2</v>
      </c>
      <c r="G32" s="12">
        <v>2.2171024233102798E-2</v>
      </c>
    </row>
    <row r="33" spans="1:7">
      <c r="A33" s="1">
        <v>40513</v>
      </c>
      <c r="B33">
        <v>5642.5</v>
      </c>
      <c r="C33" s="5">
        <f t="shared" si="0"/>
        <v>2.0657344934247313E-2</v>
      </c>
      <c r="G33" s="12">
        <v>2.0657345652580261E-2</v>
      </c>
    </row>
    <row r="34" spans="1:7">
      <c r="A34" s="1">
        <v>40512</v>
      </c>
      <c r="B34">
        <v>5528.3</v>
      </c>
      <c r="C34" s="5">
        <f t="shared" si="0"/>
        <v>-4.089353269681073E-3</v>
      </c>
      <c r="G34" s="12">
        <v>-4.0893531404435635E-3</v>
      </c>
    </row>
    <row r="35" spans="1:7">
      <c r="A35" s="1">
        <v>40511</v>
      </c>
      <c r="B35">
        <v>5551</v>
      </c>
      <c r="C35" s="5">
        <f t="shared" si="0"/>
        <v>-2.0763137932859332E-2</v>
      </c>
      <c r="G35" s="12">
        <v>-2.0763138309121132E-2</v>
      </c>
    </row>
    <row r="36" spans="1:7">
      <c r="A36" s="1">
        <v>40508</v>
      </c>
      <c r="B36">
        <v>5668.7</v>
      </c>
      <c r="C36" s="5">
        <f t="shared" si="0"/>
        <v>-5.2992682798433943E-3</v>
      </c>
      <c r="G36" s="12">
        <v>-5.2992682904005051E-3</v>
      </c>
    </row>
    <row r="37" spans="1:7">
      <c r="A37" s="1">
        <v>40507</v>
      </c>
      <c r="B37">
        <v>5698.9</v>
      </c>
      <c r="C37" s="5">
        <f t="shared" si="0"/>
        <v>7.3889448657438184E-3</v>
      </c>
      <c r="G37" s="12">
        <v>7.3889447376132011E-3</v>
      </c>
    </row>
    <row r="38" spans="1:7">
      <c r="A38" s="1">
        <v>40506</v>
      </c>
      <c r="B38">
        <v>5657.1</v>
      </c>
      <c r="C38" s="5">
        <f t="shared" si="0"/>
        <v>1.3581065343199583E-2</v>
      </c>
      <c r="G38" s="12">
        <v>1.3581065461039543E-2</v>
      </c>
    </row>
    <row r="39" spans="1:7">
      <c r="A39" s="1">
        <v>40505</v>
      </c>
      <c r="B39">
        <v>5581.3</v>
      </c>
      <c r="C39" s="5">
        <f t="shared" si="0"/>
        <v>-1.751513871285737E-2</v>
      </c>
      <c r="G39" s="12">
        <v>-1.7515137791633606E-2</v>
      </c>
    </row>
    <row r="40" spans="1:7">
      <c r="A40" s="1">
        <v>40504</v>
      </c>
      <c r="B40">
        <v>5680.8</v>
      </c>
      <c r="C40" s="5">
        <f t="shared" si="0"/>
        <v>-9.0706112196483613E-3</v>
      </c>
      <c r="G40" s="12">
        <v>-9.0706115588545799E-3</v>
      </c>
    </row>
    <row r="41" spans="1:7">
      <c r="A41" s="1">
        <v>40501</v>
      </c>
      <c r="B41">
        <v>5732.8</v>
      </c>
      <c r="C41" s="5">
        <f t="shared" si="0"/>
        <v>-6.2232392046733809E-3</v>
      </c>
      <c r="G41" s="12">
        <v>-6.223239004611969E-3</v>
      </c>
    </row>
    <row r="42" spans="1:7">
      <c r="A42" s="1">
        <v>40500</v>
      </c>
      <c r="B42">
        <v>5768.7</v>
      </c>
      <c r="C42" s="5">
        <f t="shared" si="0"/>
        <v>1.3368232442117822E-2</v>
      </c>
      <c r="G42" s="12">
        <v>1.3368232175707817E-2</v>
      </c>
    </row>
    <row r="43" spans="1:7">
      <c r="A43" s="1">
        <v>40499</v>
      </c>
      <c r="B43">
        <v>5692.6</v>
      </c>
      <c r="C43" s="5">
        <f t="shared" si="0"/>
        <v>1.8831728823105465E-3</v>
      </c>
      <c r="G43" s="12">
        <v>1.8831728957593441E-3</v>
      </c>
    </row>
    <row r="44" spans="1:7">
      <c r="A44" s="1">
        <v>40498</v>
      </c>
      <c r="B44">
        <v>5681.9</v>
      </c>
      <c r="C44" s="5">
        <f t="shared" si="0"/>
        <v>-2.3795615421620564E-2</v>
      </c>
      <c r="G44" s="12">
        <v>-2.3795615881681442E-2</v>
      </c>
    </row>
    <row r="45" spans="1:7">
      <c r="A45" s="1">
        <v>40497</v>
      </c>
      <c r="B45">
        <v>5820.4</v>
      </c>
      <c r="C45" s="5">
        <f t="shared" si="0"/>
        <v>4.0538908727079104E-3</v>
      </c>
      <c r="G45" s="12">
        <v>4.0538907051086426E-3</v>
      </c>
    </row>
    <row r="46" spans="1:7">
      <c r="A46" s="1">
        <v>40494</v>
      </c>
      <c r="B46">
        <v>5796.9</v>
      </c>
      <c r="C46" s="5">
        <f t="shared" si="0"/>
        <v>-3.1469252992158969E-3</v>
      </c>
      <c r="G46" s="12">
        <v>-3.1469252426177263E-3</v>
      </c>
    </row>
    <row r="47" spans="1:7">
      <c r="A47" s="1">
        <v>40493</v>
      </c>
      <c r="B47">
        <v>5815.2</v>
      </c>
      <c r="C47" s="5">
        <f t="shared" si="0"/>
        <v>-2.9225188674375513E-4</v>
      </c>
      <c r="G47" s="12">
        <v>-2.9225187608972192E-4</v>
      </c>
    </row>
    <row r="48" spans="1:7">
      <c r="A48" s="1">
        <v>40492</v>
      </c>
      <c r="B48">
        <v>5816.9</v>
      </c>
      <c r="C48" s="5">
        <f t="shared" si="0"/>
        <v>-9.9230664488018094E-3</v>
      </c>
      <c r="G48" s="12">
        <v>-9.9230660125613213E-3</v>
      </c>
    </row>
    <row r="49" spans="1:7">
      <c r="A49" s="1">
        <v>40491</v>
      </c>
      <c r="B49">
        <v>5875.2</v>
      </c>
      <c r="C49" s="5">
        <f t="shared" si="0"/>
        <v>4.3076923076923457E-3</v>
      </c>
      <c r="G49" s="12">
        <v>4.3076924048364162E-3</v>
      </c>
    </row>
    <row r="50" spans="1:7">
      <c r="A50" s="1">
        <v>40490</v>
      </c>
      <c r="B50">
        <v>5850</v>
      </c>
      <c r="C50" s="5">
        <f t="shared" si="0"/>
        <v>-4.3231099159205533E-3</v>
      </c>
      <c r="G50" s="12">
        <v>-4.3231099843978882E-3</v>
      </c>
    </row>
    <row r="51" spans="1:7">
      <c r="A51" s="1">
        <v>40487</v>
      </c>
      <c r="B51">
        <v>5875.4</v>
      </c>
      <c r="C51" s="5">
        <f t="shared" si="0"/>
        <v>2.149143753837679E-3</v>
      </c>
      <c r="G51" s="12">
        <v>2.1491437219083309E-3</v>
      </c>
    </row>
    <row r="52" spans="1:7">
      <c r="A52" s="1">
        <v>40486</v>
      </c>
      <c r="B52">
        <v>5862.8</v>
      </c>
      <c r="C52" s="5">
        <f t="shared" si="0"/>
        <v>1.97947469125066E-2</v>
      </c>
      <c r="G52" s="12">
        <v>1.9794747233390808E-2</v>
      </c>
    </row>
    <row r="53" spans="1:7">
      <c r="A53" s="1">
        <v>40485</v>
      </c>
      <c r="B53">
        <v>5749</v>
      </c>
      <c r="C53" s="5">
        <f t="shared" si="0"/>
        <v>-1.4589919060686851E-3</v>
      </c>
      <c r="G53" s="12">
        <v>-1.4589919010177255E-3</v>
      </c>
    </row>
    <row r="54" spans="1:7">
      <c r="A54" s="1">
        <v>40484</v>
      </c>
      <c r="B54">
        <v>5757.4</v>
      </c>
      <c r="C54" s="5">
        <f t="shared" si="0"/>
        <v>1.1027991430477835E-2</v>
      </c>
      <c r="G54" s="12">
        <v>1.1027991771697998E-2</v>
      </c>
    </row>
    <row r="55" spans="1:7">
      <c r="A55" s="1">
        <v>40483</v>
      </c>
      <c r="B55">
        <v>5694.6</v>
      </c>
      <c r="C55" s="5">
        <f t="shared" si="0"/>
        <v>3.4183817310404763E-3</v>
      </c>
      <c r="G55" s="12">
        <v>3.418381791561842E-3</v>
      </c>
    </row>
    <row r="56" spans="1:7">
      <c r="A56" s="1">
        <v>40480</v>
      </c>
      <c r="B56">
        <v>5675.2</v>
      </c>
      <c r="C56" s="5">
        <f t="shared" si="0"/>
        <v>-4.7552792405636257E-4</v>
      </c>
      <c r="G56" s="12">
        <v>-4.7552792239002883E-4</v>
      </c>
    </row>
    <row r="57" spans="1:7">
      <c r="A57" s="1">
        <v>40479</v>
      </c>
      <c r="B57">
        <v>5677.9</v>
      </c>
      <c r="C57" s="5">
        <f t="shared" si="0"/>
        <v>5.6500177116542982E-3</v>
      </c>
      <c r="G57" s="12">
        <v>5.6500178761780262E-3</v>
      </c>
    </row>
    <row r="58" spans="1:7">
      <c r="A58" s="1">
        <v>40478</v>
      </c>
      <c r="B58">
        <v>5646</v>
      </c>
      <c r="C58" s="5">
        <f t="shared" si="0"/>
        <v>-1.074063042068929E-2</v>
      </c>
      <c r="G58" s="12">
        <v>-1.0740630328655243E-2</v>
      </c>
    </row>
    <row r="59" spans="1:7">
      <c r="A59" s="1">
        <v>40477</v>
      </c>
      <c r="B59">
        <v>5707.3</v>
      </c>
      <c r="C59" s="5">
        <f t="shared" si="0"/>
        <v>-7.7712100139081253E-3</v>
      </c>
      <c r="G59" s="12">
        <v>-7.7712098136544228E-3</v>
      </c>
    </row>
    <row r="60" spans="1:7">
      <c r="A60" s="1">
        <v>40476</v>
      </c>
      <c r="B60">
        <v>5752</v>
      </c>
      <c r="C60" s="5">
        <f t="shared" si="0"/>
        <v>1.846239593130683E-3</v>
      </c>
      <c r="G60" s="12">
        <v>1.8462395528331399E-3</v>
      </c>
    </row>
    <row r="61" spans="1:7">
      <c r="A61" s="1">
        <v>40473</v>
      </c>
      <c r="B61">
        <v>5741.4</v>
      </c>
      <c r="C61" s="5">
        <f t="shared" si="0"/>
        <v>-2.8656280935758227E-3</v>
      </c>
      <c r="G61" s="12">
        <v>-2.8656281065195799E-3</v>
      </c>
    </row>
    <row r="62" spans="1:7">
      <c r="A62" s="1">
        <v>40472</v>
      </c>
      <c r="B62">
        <v>5757.9</v>
      </c>
      <c r="C62" s="5">
        <f t="shared" si="0"/>
        <v>5.0620537974130908E-3</v>
      </c>
      <c r="G62" s="12">
        <v>5.0620539113879204E-3</v>
      </c>
    </row>
    <row r="63" spans="1:7">
      <c r="A63" s="1">
        <v>40471</v>
      </c>
      <c r="B63">
        <v>5728.9</v>
      </c>
      <c r="C63" s="5"/>
      <c r="G63" s="12"/>
    </row>
  </sheetData>
  <phoneticPr fontId="0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FTSE Summary Stats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Adrian Brink</cp:lastModifiedBy>
  <dcterms:created xsi:type="dcterms:W3CDTF">2011-01-19T11:52:55Z</dcterms:created>
  <dcterms:modified xsi:type="dcterms:W3CDTF">2013-03-04T17:38:32Z</dcterms:modified>
</cp:coreProperties>
</file>